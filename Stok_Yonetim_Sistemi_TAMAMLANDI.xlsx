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ok_Giris" sheetId="2" state="visible" r:id="rId2"/>
    <sheet name="Stok_Cikis" sheetId="3" state="visible" r:id="rId3"/>
    <sheet name="Stok_Durum" sheetId="4" state="visible" r:id="rId4"/>
    <sheet name="Raporlar" sheetId="5" state="visible" r:id="rId5"/>
    <sheet name="Ayarlar" sheetId="6" state="visible" r:id="rId6"/>
    <sheet name="Sirketler" sheetId="7" state="hidden" r:id="rId7"/>
    <sheet name="Ortaklar" sheetId="8" state="hidden" r:id="rId8"/>
    <sheet name="Urunler" sheetId="9" state="hidden" r:id="rId9"/>
    <sheet name="Depolar" sheetId="10" state="hidden" r:id="rId10"/>
    <sheet name="Stok_Hareketleri" sheetId="11" state="hidden" r:id="rId11"/>
    <sheet name="Dil_Cevirileri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color rgb="002F5597"/>
      <sz val="16"/>
    </font>
    <font>
      <name val="Calibri"/>
      <color rgb="00666666"/>
      <sz val="12"/>
    </font>
    <font>
      <name val="Calibri"/>
      <b val="1"/>
      <color rgb="002F5597"/>
      <sz val="12"/>
    </font>
    <font>
      <name val="Calibri"/>
      <b val="1"/>
      <color rgb="00FFFFFF"/>
      <sz val="14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E7F3FF"/>
        <bgColor rgb="00E7F3FF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STOK YÖNETİM SİSTEMİ - ANA DASHBOARD</t>
        </is>
      </c>
    </row>
    <row r="2">
      <c r="A2" s="4" t="inlineStr">
        <is>
          <t>Özgür Yılmaz - Çok Şirketli Stok Takibi</t>
        </is>
      </c>
    </row>
    <row r="4">
      <c r="A4" s="5" t="inlineStr">
        <is>
          <t>TOPLAM STOK (TON)</t>
        </is>
      </c>
      <c r="C4">
        <f>IFERROR(SUMIF(Stok_Hareketleri!C:C,"Giriş",Stok_Hareketleri!E:E)-SUMIF(Stok_Hareketleri!C:C,"Çıkış",Stok_Hareketleri!E:E),0)</f>
        <v/>
      </c>
      <c r="E4" s="5" t="inlineStr">
        <is>
          <t>GÜNLÜK HAREKET (TON)</t>
        </is>
      </c>
      <c r="G4">
        <f>IFERROR(SUMIFS(Stok_Hareketleri!E:E,Stok_Hareketleri!B:B,TODAY()),0)</f>
        <v/>
      </c>
      <c r="I4" s="5" t="inlineStr">
        <is>
          <t>BEKLEYEN SEVKİYAT</t>
        </is>
      </c>
      <c r="K4">
        <f>IFERROR(COUNTIFS(Stok_Hareketleri!S:S,"Beklemede"),0)</f>
        <v/>
      </c>
      <c r="M4" s="5" t="inlineStr">
        <is>
          <t>TOPLAM DEĞER (USD)</t>
        </is>
      </c>
      <c r="O4">
        <f>IFERROR(SUMPRODUCT(Stok_Hareketleri!E:E,Stok_Hareketleri!F:F),0)</f>
        <v/>
      </c>
    </row>
    <row r="10">
      <c r="A10" s="6" t="inlineStr">
        <is>
          <t>DEPO ADI</t>
        </is>
      </c>
      <c r="B10" s="6" t="inlineStr">
        <is>
          <t>ÜRÜN ADI</t>
        </is>
      </c>
      <c r="C10" s="6" t="inlineStr">
        <is>
          <t>MİKTAR</t>
        </is>
      </c>
      <c r="D10" s="6" t="inlineStr">
        <is>
          <t>BİRİM FİYAT</t>
        </is>
      </c>
      <c r="E10" s="6" t="inlineStr">
        <is>
          <t>TOPLAM DEĞER</t>
        </is>
      </c>
      <c r="F10" s="6" t="inlineStr">
        <is>
          <t>ORTAK</t>
        </is>
      </c>
    </row>
    <row r="27">
      <c r="A27" s="6" t="inlineStr">
        <is>
          <t>TARİH</t>
        </is>
      </c>
      <c r="B27" s="6" t="inlineStr">
        <is>
          <t>TİP</t>
        </is>
      </c>
      <c r="C27" s="6" t="inlineStr">
        <is>
          <t>ÜRÜN</t>
        </is>
      </c>
      <c r="D27" s="6" t="inlineStr">
        <is>
          <t>MİKTAR</t>
        </is>
      </c>
      <c r="E27" s="6" t="inlineStr">
        <is>
          <t>ORTAK</t>
        </is>
      </c>
      <c r="F27" s="6" t="inlineStr">
        <is>
          <t>DEPO</t>
        </is>
      </c>
      <c r="G27" s="6" t="inlineStr">
        <is>
          <t>ARAÇ PLAKA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STOK GİRİŞ İŞLEMLERİ
Bu sayfada VBA makroları ile stok giriş formları açılacak.
Alt+F11 tuşları ile VBA editörünü açıp makroları çalıştırabilirsiniz.
Özellikler:
• Araç bilgileri ile giriş
• Masraf takibi
• Otomatik ID oluşturma
• Kapasite kontrolü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STOK ÇIKIŞ İŞLEMLERİ
Bu sayfada VBA makroları ile stok çıkış formları açılacak.
Alt+F11 tuşları ile VBA editörünü açıp makroları çalıştırabilirsiniz.
Özellikler:
• Araç bilgileri ile çıkış
• Komisyon hesaplama
• Stok yeterlilik kontrolü
• Kar/zarar hesaplama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ANLIK STOK DURUMU
Bu sayfada anlık stok durumu tabloları görüntülenecek.
Özellikler:
• Depo bazlı stok görünümü
• Ürün bazlı stok durumu
• Ortak bazlı stok ayrımı
• Gerçek zamanlı güncelleme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ÇOK DİLLİ RAPORLAR
Bu sayfada çok dilli raporlar oluşturulacak.
Dil Seçenekleri:
• Türkçe (Ana dil)
• İngilizce (Ortaklar için)
• Irak Arapçası (Ortaklar için)
Rapor Türleri:
• Stok durumu raporları
• Hareket raporları
• Kar/zarar raporları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SİSTEM AYARLARI
Bu sayfada sistem ayarları ve konfigürasyonlar yer alacak.
Ayar Seçenekleri:
• Dil tercihleri
• Yedekleme ayarları
• Kullanıcı yetkileri
• Sistem parametreleri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Sirket_Adi</t>
        </is>
      </c>
      <c r="C1" t="inlineStr">
        <is>
          <t>Tip</t>
        </is>
      </c>
      <c r="D1" t="inlineStr">
        <is>
          <t>Aktif</t>
        </is>
      </c>
    </row>
    <row r="2">
      <c r="A2" t="n">
        <v>1</v>
      </c>
      <c r="B2" t="inlineStr">
        <is>
          <t>Yılmaz Transport</t>
        </is>
      </c>
      <c r="C2" t="inlineStr">
        <is>
          <t>Bağımsız</t>
        </is>
      </c>
      <c r="D2" t="inlineStr">
        <is>
          <t>EVET</t>
        </is>
      </c>
    </row>
    <row r="3">
      <c r="A3" t="n">
        <v>2</v>
      </c>
      <c r="B3" t="inlineStr">
        <is>
          <t>Zad Agro</t>
        </is>
      </c>
      <c r="C3" t="inlineStr">
        <is>
          <t>Ortaklık</t>
        </is>
      </c>
      <c r="D3" t="inlineStr">
        <is>
          <t>EVET</t>
        </is>
      </c>
    </row>
    <row r="4">
      <c r="A4" t="n">
        <v>3</v>
      </c>
      <c r="B4" t="inlineStr">
        <is>
          <t>Global Agro</t>
        </is>
      </c>
      <c r="C4" t="inlineStr">
        <is>
          <t>Ortaklık</t>
        </is>
      </c>
      <c r="D4" t="inlineStr">
        <is>
          <t>EVET</t>
        </is>
      </c>
    </row>
    <row r="5">
      <c r="A5" t="n">
        <v>4</v>
      </c>
      <c r="B5" t="inlineStr">
        <is>
          <t>Yılmaz Agro</t>
        </is>
      </c>
      <c r="C5" t="inlineStr">
        <is>
          <t>Bağımsız</t>
        </is>
      </c>
      <c r="D5" t="inlineStr">
        <is>
          <t>EVET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Ortak_Adi</t>
        </is>
      </c>
      <c r="C1" t="inlineStr">
        <is>
          <t>Sirket_ID</t>
        </is>
      </c>
      <c r="D1" t="inlineStr">
        <is>
          <t>Aktif</t>
        </is>
      </c>
    </row>
    <row r="2">
      <c r="A2" t="n">
        <v>1</v>
      </c>
      <c r="B2" t="inlineStr">
        <is>
          <t>Şerzat</t>
        </is>
      </c>
      <c r="C2" t="n">
        <v>2</v>
      </c>
      <c r="D2" t="inlineStr">
        <is>
          <t>EVET</t>
        </is>
      </c>
    </row>
    <row r="3">
      <c r="A3" t="n">
        <v>2</v>
      </c>
      <c r="B3" t="inlineStr">
        <is>
          <t>Amanj</t>
        </is>
      </c>
      <c r="C3" t="n">
        <v>3</v>
      </c>
      <c r="D3" t="inlineStr">
        <is>
          <t>EVET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Urun_Adi</t>
        </is>
      </c>
      <c r="C1" t="inlineStr">
        <is>
          <t>Birim</t>
        </is>
      </c>
      <c r="D1" t="inlineStr">
        <is>
          <t>Min_Kalite</t>
        </is>
      </c>
      <c r="E1" t="inlineStr">
        <is>
          <t>Max_Kalite</t>
        </is>
      </c>
    </row>
    <row r="2">
      <c r="A2" t="n">
        <v>1</v>
      </c>
      <c r="B2" t="inlineStr">
        <is>
          <t>Mısır</t>
        </is>
      </c>
      <c r="C2" t="inlineStr">
        <is>
          <t>Ton</t>
        </is>
      </c>
      <c r="D2" t="n">
        <v>0</v>
      </c>
      <c r="E2" t="n">
        <v>100</v>
      </c>
    </row>
    <row r="3">
      <c r="A3" t="n">
        <v>2</v>
      </c>
      <c r="B3" t="inlineStr">
        <is>
          <t>Buğday</t>
        </is>
      </c>
      <c r="C3" t="inlineStr">
        <is>
          <t>Ton</t>
        </is>
      </c>
      <c r="D3" t="n">
        <v>0</v>
      </c>
      <c r="E3" t="n">
        <v>100</v>
      </c>
    </row>
    <row r="4">
      <c r="A4" t="n">
        <v>3</v>
      </c>
      <c r="B4" t="inlineStr">
        <is>
          <t>Arpa</t>
        </is>
      </c>
      <c r="C4" t="inlineStr">
        <is>
          <t>Ton</t>
        </is>
      </c>
      <c r="D4" t="n">
        <v>0</v>
      </c>
      <c r="E4" t="n">
        <v>100</v>
      </c>
    </row>
    <row r="5">
      <c r="A5" t="n">
        <v>4</v>
      </c>
      <c r="B5" t="inlineStr">
        <is>
          <t>Soya Küspesi</t>
        </is>
      </c>
      <c r="C5" t="inlineStr">
        <is>
          <t>Ton</t>
        </is>
      </c>
      <c r="D5" t="n">
        <v>0</v>
      </c>
      <c r="E5" t="n">
        <v>100</v>
      </c>
    </row>
    <row r="6">
      <c r="A6" t="n">
        <v>5</v>
      </c>
      <c r="B6" t="inlineStr">
        <is>
          <t>Soya Yağı</t>
        </is>
      </c>
      <c r="C6" t="inlineStr">
        <is>
          <t>Ton</t>
        </is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Depo_Adi</t>
        </is>
      </c>
      <c r="C1" t="inlineStr">
        <is>
          <t>Sehir</t>
        </is>
      </c>
      <c r="D1" t="inlineStr">
        <is>
          <t>Kapasite</t>
        </is>
      </c>
      <c r="E1" t="inlineStr">
        <is>
          <t>Aktif</t>
        </is>
      </c>
    </row>
    <row r="2">
      <c r="A2" t="n">
        <v>1</v>
      </c>
      <c r="B2" t="inlineStr">
        <is>
          <t>Mersin Antrepo</t>
        </is>
      </c>
      <c r="C2" t="inlineStr">
        <is>
          <t>Mersin</t>
        </is>
      </c>
      <c r="D2" t="n">
        <v>10000</v>
      </c>
      <c r="E2" t="inlineStr">
        <is>
          <t>EVET</t>
        </is>
      </c>
    </row>
    <row r="3">
      <c r="A3" t="n">
        <v>2</v>
      </c>
      <c r="B3" t="inlineStr">
        <is>
          <t>İstanbul Antrepo</t>
        </is>
      </c>
      <c r="C3" t="inlineStr">
        <is>
          <t>İstanbul</t>
        </is>
      </c>
      <c r="D3" t="n">
        <v>8000</v>
      </c>
      <c r="E3" t="inlineStr">
        <is>
          <t>EVET</t>
        </is>
      </c>
    </row>
    <row r="4">
      <c r="A4" t="n">
        <v>3</v>
      </c>
      <c r="B4" t="inlineStr">
        <is>
          <t>Samsun Antrepo</t>
        </is>
      </c>
      <c r="C4" t="inlineStr">
        <is>
          <t>Samsun</t>
        </is>
      </c>
      <c r="D4" t="n">
        <v>6000</v>
      </c>
      <c r="E4" t="inlineStr">
        <is>
          <t>EVET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Tarih</t>
        </is>
      </c>
      <c r="C1" t="inlineStr">
        <is>
          <t>Tip</t>
        </is>
      </c>
      <c r="D1" t="inlineStr">
        <is>
          <t>Urun_ID</t>
        </is>
      </c>
      <c r="E1" t="inlineStr">
        <is>
          <t>Miktar</t>
        </is>
      </c>
      <c r="F1" t="inlineStr">
        <is>
          <t>Birim_Fiyat</t>
        </is>
      </c>
      <c r="G1" t="inlineStr">
        <is>
          <t>Para_Birimi</t>
        </is>
      </c>
      <c r="H1" t="inlineStr">
        <is>
          <t>Depo_ID</t>
        </is>
      </c>
      <c r="I1" t="inlineStr">
        <is>
          <t>Sirket_ID</t>
        </is>
      </c>
      <c r="J1" t="inlineStr">
        <is>
          <t>Ortak_ID</t>
        </is>
      </c>
      <c r="K1" t="inlineStr">
        <is>
          <t>Tedarikci</t>
        </is>
      </c>
      <c r="L1" t="inlineStr">
        <is>
          <t>Musteri</t>
        </is>
      </c>
      <c r="M1" t="inlineStr">
        <is>
          <t>Arac_Plaka</t>
        </is>
      </c>
      <c r="N1" t="inlineStr">
        <is>
          <t>Sofor_Adi</t>
        </is>
      </c>
      <c r="O1" t="inlineStr">
        <is>
          <t>Sofor_Tel</t>
        </is>
      </c>
      <c r="P1" t="inlineStr">
        <is>
          <t>Navlun</t>
        </is>
      </c>
      <c r="Q1" t="inlineStr">
        <is>
          <t>Masraflar</t>
        </is>
      </c>
      <c r="R1" t="inlineStr">
        <is>
          <t>Komisyon</t>
        </is>
      </c>
      <c r="S1" t="inlineStr">
        <is>
          <t>Durum</t>
        </is>
      </c>
    </row>
    <row r="2">
      <c r="A2" t="n">
        <v>1</v>
      </c>
      <c r="B2" s="2" t="n">
        <v>45823</v>
      </c>
      <c r="C2" t="inlineStr">
        <is>
          <t>Giriş</t>
        </is>
      </c>
      <c r="D2" t="n">
        <v>1</v>
      </c>
      <c r="E2" t="n">
        <v>100</v>
      </c>
      <c r="F2" t="n">
        <v>250</v>
      </c>
      <c r="G2" t="inlineStr">
        <is>
          <t>USD</t>
        </is>
      </c>
      <c r="H2" t="n">
        <v>1</v>
      </c>
      <c r="I2" t="n">
        <v>2</v>
      </c>
      <c r="J2" t="n">
        <v>1</v>
      </c>
      <c r="K2" t="inlineStr">
        <is>
          <t>Test Tedarikçi</t>
        </is>
      </c>
      <c r="M2" t="inlineStr">
        <is>
          <t>34ABC123</t>
        </is>
      </c>
      <c r="N2" t="inlineStr">
        <is>
          <t>Ahmet Yılmaz</t>
        </is>
      </c>
      <c r="O2" t="inlineStr">
        <is>
          <t>555-1234</t>
        </is>
      </c>
      <c r="P2" t="n">
        <v>500</v>
      </c>
      <c r="Q2" t="n">
        <v>100</v>
      </c>
      <c r="R2" t="n">
        <v>0</v>
      </c>
      <c r="S2" t="inlineStr">
        <is>
          <t>Tamamlandı</t>
        </is>
      </c>
    </row>
    <row r="3">
      <c r="A3" t="n">
        <v>2</v>
      </c>
      <c r="B3" s="2" t="n">
        <v>45823</v>
      </c>
      <c r="C3" t="inlineStr">
        <is>
          <t>Çıkış</t>
        </is>
      </c>
      <c r="D3" t="n">
        <v>1</v>
      </c>
      <c r="E3" t="n">
        <v>50</v>
      </c>
      <c r="F3" t="n">
        <v>260</v>
      </c>
      <c r="G3" t="inlineStr">
        <is>
          <t>USD</t>
        </is>
      </c>
      <c r="H3" t="n">
        <v>1</v>
      </c>
      <c r="I3" t="n">
        <v>2</v>
      </c>
      <c r="J3" t="n">
        <v>1</v>
      </c>
      <c r="L3" t="inlineStr">
        <is>
          <t>Test Müşteri</t>
        </is>
      </c>
      <c r="M3" t="inlineStr">
        <is>
          <t>06DEF456</t>
        </is>
      </c>
      <c r="N3" t="inlineStr">
        <is>
          <t>Mehmet Kaya</t>
        </is>
      </c>
      <c r="O3" t="inlineStr">
        <is>
          <t>555-5678</t>
        </is>
      </c>
      <c r="P3" t="n">
        <v>300</v>
      </c>
      <c r="Q3" t="n">
        <v>50</v>
      </c>
      <c r="R3" t="n">
        <v>10</v>
      </c>
      <c r="S3" t="inlineStr">
        <is>
          <t>Tamamlandı</t>
        </is>
      </c>
    </row>
    <row r="4">
      <c r="A4" t="n">
        <v>3</v>
      </c>
      <c r="B4" s="2" t="n">
        <v>45823</v>
      </c>
      <c r="C4" t="inlineStr">
        <is>
          <t>Giriş</t>
        </is>
      </c>
      <c r="D4" t="n">
        <v>2</v>
      </c>
      <c r="E4" t="n">
        <v>200</v>
      </c>
      <c r="F4" t="n">
        <v>280</v>
      </c>
      <c r="G4" t="inlineStr">
        <is>
          <t>USD</t>
        </is>
      </c>
      <c r="H4" t="n">
        <v>2</v>
      </c>
      <c r="I4" t="n">
        <v>3</v>
      </c>
      <c r="J4" t="n">
        <v>2</v>
      </c>
      <c r="K4" t="inlineStr">
        <is>
          <t>Global Tedarik</t>
        </is>
      </c>
      <c r="L4" t="inlineStr"/>
      <c r="M4" t="inlineStr">
        <is>
          <t>35XYZ789</t>
        </is>
      </c>
      <c r="N4" t="inlineStr">
        <is>
          <t>Ali Demir</t>
        </is>
      </c>
      <c r="O4" t="inlineStr">
        <is>
          <t>555-9876</t>
        </is>
      </c>
      <c r="P4" t="n">
        <v>600</v>
      </c>
      <c r="Q4" t="n">
        <v>150</v>
      </c>
      <c r="R4" t="n">
        <v>0</v>
      </c>
      <c r="S4" t="inlineStr">
        <is>
          <t>Tamamlandı</t>
        </is>
      </c>
    </row>
    <row r="5">
      <c r="A5" t="n">
        <v>4</v>
      </c>
      <c r="B5" s="2" t="n">
        <v>45823</v>
      </c>
      <c r="C5" t="inlineStr">
        <is>
          <t>Çıkış</t>
        </is>
      </c>
      <c r="D5" t="n">
        <v>2</v>
      </c>
      <c r="E5" t="n">
        <v>80</v>
      </c>
      <c r="F5" t="n">
        <v>290</v>
      </c>
      <c r="G5" t="inlineStr">
        <is>
          <t>USD</t>
        </is>
      </c>
      <c r="H5" t="n">
        <v>2</v>
      </c>
      <c r="I5" t="n">
        <v>3</v>
      </c>
      <c r="J5" t="n">
        <v>2</v>
      </c>
      <c r="K5" t="inlineStr"/>
      <c r="L5" t="inlineStr">
        <is>
          <t>Kaiwan Ltd</t>
        </is>
      </c>
      <c r="M5" t="inlineStr">
        <is>
          <t>07GHI321</t>
        </is>
      </c>
      <c r="N5" t="inlineStr">
        <is>
          <t>Fatma Yılmaz</t>
        </is>
      </c>
      <c r="O5" t="inlineStr">
        <is>
          <t>555-4321</t>
        </is>
      </c>
      <c r="P5" t="n">
        <v>400</v>
      </c>
      <c r="Q5" t="n">
        <v>80</v>
      </c>
      <c r="R5" t="n">
        <v>15</v>
      </c>
      <c r="S5" t="inlineStr">
        <is>
          <t>Tamamlandı</t>
        </is>
      </c>
    </row>
    <row r="6">
      <c r="A6" t="n">
        <v>5</v>
      </c>
      <c r="B6" s="2" t="n">
        <v>45823</v>
      </c>
      <c r="C6" t="inlineStr">
        <is>
          <t>Giriş</t>
        </is>
      </c>
      <c r="D6" t="n">
        <v>3</v>
      </c>
      <c r="E6" t="n">
        <v>150</v>
      </c>
      <c r="F6" t="n">
        <v>220</v>
      </c>
      <c r="G6" t="inlineStr">
        <is>
          <t>USD</t>
        </is>
      </c>
      <c r="H6" t="n">
        <v>3</v>
      </c>
      <c r="I6" t="n">
        <v>4</v>
      </c>
      <c r="J6" t="n">
        <v>1</v>
      </c>
      <c r="K6" t="inlineStr">
        <is>
          <t>Samsun Tarım</t>
        </is>
      </c>
      <c r="L6" t="inlineStr"/>
      <c r="M6" t="inlineStr">
        <is>
          <t>55JKL654</t>
        </is>
      </c>
      <c r="N6" t="inlineStr">
        <is>
          <t>Mehmet Özkan</t>
        </is>
      </c>
      <c r="O6" t="inlineStr">
        <is>
          <t>555-1111</t>
        </is>
      </c>
      <c r="P6" t="n">
        <v>450</v>
      </c>
      <c r="Q6" t="n">
        <v>100</v>
      </c>
      <c r="R6" t="n">
        <v>0</v>
      </c>
      <c r="S6" t="inlineStr">
        <is>
          <t>Beklemede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Anahtar</t>
        </is>
      </c>
      <c r="B1" t="inlineStr">
        <is>
          <t>Turkce</t>
        </is>
      </c>
      <c r="C1" t="inlineStr">
        <is>
          <t>Ingilizce</t>
        </is>
      </c>
      <c r="D1" t="inlineStr">
        <is>
          <t>Arapca</t>
        </is>
      </c>
    </row>
    <row r="2">
      <c r="A2" t="inlineStr">
        <is>
          <t>stok_durumu</t>
        </is>
      </c>
      <c r="B2" t="inlineStr">
        <is>
          <t>Stok Durumu</t>
        </is>
      </c>
      <c r="C2" t="inlineStr">
        <is>
          <t>Stock Status</t>
        </is>
      </c>
      <c r="D2" t="inlineStr">
        <is>
          <t>حالة المخزون</t>
        </is>
      </c>
    </row>
    <row r="3">
      <c r="A3" t="inlineStr">
        <is>
          <t>urun_adi</t>
        </is>
      </c>
      <c r="B3" t="inlineStr">
        <is>
          <t>Ürün Adı</t>
        </is>
      </c>
      <c r="C3" t="inlineStr">
        <is>
          <t>Product Name</t>
        </is>
      </c>
      <c r="D3" t="inlineStr">
        <is>
          <t>اسم المنتج</t>
        </is>
      </c>
    </row>
    <row r="4">
      <c r="A4" t="inlineStr">
        <is>
          <t>miktar</t>
        </is>
      </c>
      <c r="B4" t="inlineStr">
        <is>
          <t>Miktar</t>
        </is>
      </c>
      <c r="C4" t="inlineStr">
        <is>
          <t>Quantity</t>
        </is>
      </c>
      <c r="D4" t="inlineStr">
        <is>
          <t>الكمية</t>
        </is>
      </c>
    </row>
    <row r="5">
      <c r="A5" t="inlineStr">
        <is>
          <t>birim_fiyat</t>
        </is>
      </c>
      <c r="B5" t="inlineStr">
        <is>
          <t>Birim Fiyat</t>
        </is>
      </c>
      <c r="C5" t="inlineStr">
        <is>
          <t>Unit Price</t>
        </is>
      </c>
      <c r="D5" t="inlineStr">
        <is>
          <t>سعر الوحدة</t>
        </is>
      </c>
    </row>
    <row r="6">
      <c r="A6" t="inlineStr">
        <is>
          <t>toplam_deger</t>
        </is>
      </c>
      <c r="B6" t="inlineStr">
        <is>
          <t>Toplam Değer</t>
        </is>
      </c>
      <c r="C6" t="inlineStr">
        <is>
          <t>Total Value</t>
        </is>
      </c>
      <c r="D6" t="inlineStr">
        <is>
          <t>القيمة الإجمالية</t>
        </is>
      </c>
    </row>
    <row r="7">
      <c r="A7" t="inlineStr">
        <is>
          <t>depo</t>
        </is>
      </c>
      <c r="B7" t="inlineStr">
        <is>
          <t>Depo</t>
        </is>
      </c>
      <c r="C7" t="inlineStr">
        <is>
          <t>Warehouse</t>
        </is>
      </c>
      <c r="D7" t="inlineStr">
        <is>
          <t>المستودع</t>
        </is>
      </c>
    </row>
    <row r="8">
      <c r="A8" t="inlineStr">
        <is>
          <t>ortak</t>
        </is>
      </c>
      <c r="B8" t="inlineStr">
        <is>
          <t>Ortak</t>
        </is>
      </c>
      <c r="C8" t="inlineStr">
        <is>
          <t>Partner</t>
        </is>
      </c>
      <c r="D8" t="inlineStr">
        <is>
          <t>الشريك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2025-06-15T22:03:40Z</dcterms:created>
  <dcterms:modified xsi:type="dcterms:W3CDTF">2025-06-15T22:06:01Z</dcterms:modified>
</cp:coreProperties>
</file>